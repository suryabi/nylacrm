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istine Air water solutions" sheetId="1" r:id="rId4"/>
  </sheets>
</workbook>
</file>

<file path=xl/sharedStrings.xml><?xml version="1.0" encoding="utf-8"?>
<sst xmlns="http://schemas.openxmlformats.org/spreadsheetml/2006/main" uniqueCount="44">
  <si>
    <t>AWG Machine</t>
  </si>
  <si>
    <t>SALARIES</t>
  </si>
  <si>
    <t>Type</t>
  </si>
  <si>
    <t>Purchase Cost</t>
  </si>
  <si>
    <t>Sale Price</t>
  </si>
  <si>
    <t>MARGIN with 10% Discount</t>
  </si>
  <si>
    <t>Sales Manager</t>
  </si>
  <si>
    <t>40 GI</t>
  </si>
  <si>
    <t>Service Manager</t>
  </si>
  <si>
    <t>40 SS</t>
  </si>
  <si>
    <t>Sales Team</t>
  </si>
  <si>
    <t>60 GI</t>
  </si>
  <si>
    <t>Service Team</t>
  </si>
  <si>
    <t>60 SS</t>
  </si>
  <si>
    <t>Finance Team</t>
  </si>
  <si>
    <t>150 GI</t>
  </si>
  <si>
    <t>Admin Team</t>
  </si>
  <si>
    <t>150 SS</t>
  </si>
  <si>
    <t>Total</t>
  </si>
  <si>
    <t>1000 GI</t>
  </si>
  <si>
    <t>Initial Investment</t>
  </si>
  <si>
    <t>MONTHLY FIXED EXPENSES</t>
  </si>
  <si>
    <t>Monthly Sale target</t>
  </si>
  <si>
    <t>Expenditure Item</t>
  </si>
  <si>
    <t>Amount</t>
  </si>
  <si>
    <t>Salaries</t>
  </si>
  <si>
    <t>Dispenser Cost</t>
  </si>
  <si>
    <t>Office Rent</t>
  </si>
  <si>
    <t>Office Maintenance (electricity, water etc)</t>
  </si>
  <si>
    <t>Machine Transportaion Cost (Average)</t>
  </si>
  <si>
    <t>Vehicle  petrol Expenses (for delivery)</t>
  </si>
  <si>
    <t>Interest on Investment (1.5%)</t>
  </si>
  <si>
    <t>Installation and Service charge (Average)</t>
  </si>
  <si>
    <t>MONTHLY OPERATIONAL EXPENSES</t>
  </si>
  <si>
    <t>MONTHLY SALES PROJECTIONS</t>
  </si>
  <si>
    <t>Dispensers cost</t>
  </si>
  <si>
    <t>40 LPD sale target in month</t>
  </si>
  <si>
    <t>Machine Transporation Cost</t>
  </si>
  <si>
    <t>60 LPD sale target in month</t>
  </si>
  <si>
    <t>Installation and Service Cost</t>
  </si>
  <si>
    <t>Profit on 40 LPD machines</t>
  </si>
  <si>
    <t>GST to be paid on margin</t>
  </si>
  <si>
    <t>Profit on 60 LPD machines</t>
  </si>
  <si>
    <t>Total Monthly Expenses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</si>
</sst>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3" fillId="3" borderId="5" applyNumberFormat="1" applyFont="1" applyFill="1" applyBorder="1" applyAlignment="1" applyProtection="0">
      <alignment horizontal="center" vertical="bottom"/>
    </xf>
    <xf numFmtId="0" fontId="3" fillId="3" borderId="6" applyNumberFormat="0" applyFont="1" applyFill="1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vertical="bottom"/>
    </xf>
    <xf numFmtId="49" fontId="3" fillId="3" borderId="8" applyNumberFormat="1" applyFont="1" applyFill="1" applyBorder="1" applyAlignment="1" applyProtection="0">
      <alignment horizontal="center" vertical="bottom"/>
    </xf>
    <xf numFmtId="0" fontId="3" fillId="3" borderId="8" applyNumberFormat="0" applyFont="1" applyFill="1" applyBorder="1" applyAlignment="1" applyProtection="0">
      <alignment horizontal="center" vertical="bottom"/>
    </xf>
    <xf numFmtId="49" fontId="0" fillId="3" borderId="8" applyNumberFormat="1" applyFont="1" applyFill="1" applyBorder="1" applyAlignment="1" applyProtection="0">
      <alignment horizontal="left" vertical="bottom"/>
    </xf>
    <xf numFmtId="0" fontId="0" borderId="9" applyNumberFormat="0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horizontal="left" vertical="bottom"/>
    </xf>
    <xf numFmtId="0" fontId="0" borderId="8" applyNumberFormat="0" applyFont="1" applyFill="0" applyBorder="1" applyAlignment="1" applyProtection="0">
      <alignment horizontal="left" vertical="bottom"/>
    </xf>
    <xf numFmtId="0" fontId="0" fillId="2" borderId="8" applyNumberFormat="1" applyFont="1" applyFill="1" applyBorder="1" applyAlignment="1" applyProtection="0">
      <alignment vertical="bottom"/>
    </xf>
    <xf numFmtId="3" fontId="0" fillId="2" borderId="8" applyNumberFormat="1" applyFont="1" applyFill="1" applyBorder="1" applyAlignment="1" applyProtection="0">
      <alignment vertical="bottom"/>
    </xf>
    <xf numFmtId="49" fontId="0" borderId="8" applyNumberFormat="1" applyFont="1" applyFill="0" applyBorder="1" applyAlignment="1" applyProtection="0">
      <alignment horizontal="center" vertical="bottom"/>
    </xf>
    <xf numFmtId="3" fontId="0" borderId="8" applyNumberFormat="1" applyFont="1" applyFill="0" applyBorder="1" applyAlignment="1" applyProtection="0">
      <alignment horizontal="center" vertical="bottom"/>
    </xf>
    <xf numFmtId="49" fontId="0" borderId="10" applyNumberFormat="1" applyFont="1" applyFill="0" applyBorder="1" applyAlignment="1" applyProtection="0">
      <alignment horizontal="right" vertical="bottom"/>
    </xf>
    <xf numFmtId="0" fontId="0" borderId="11" applyNumberFormat="0" applyFont="1" applyFill="0" applyBorder="1" applyAlignment="1" applyProtection="0">
      <alignment horizontal="right" vertical="bottom"/>
    </xf>
    <xf numFmtId="0" fontId="0" fillId="2" borderId="11" applyNumberFormat="0" applyFont="1" applyFill="1" applyBorder="1" applyAlignment="1" applyProtection="0">
      <alignment horizontal="right" vertical="bottom"/>
    </xf>
    <xf numFmtId="0" fontId="0" fillId="2" borderId="12" applyNumberFormat="0" applyFont="1" applyFill="1" applyBorder="1" applyAlignment="1" applyProtection="0">
      <alignment horizontal="right" vertical="bottom"/>
    </xf>
    <xf numFmtId="3" fontId="3" fillId="2" borderId="8" applyNumberFormat="1" applyFont="1" applyFill="1" applyBorder="1" applyAlignment="1" applyProtection="0">
      <alignment horizontal="center" vertical="bottom"/>
    </xf>
    <xf numFmtId="0" fontId="0" borderId="11" applyNumberFormat="0" applyFont="1" applyFill="0" applyBorder="1" applyAlignment="1" applyProtection="0">
      <alignment horizontal="left" vertical="bottom"/>
    </xf>
    <xf numFmtId="0" fontId="0" fillId="2" borderId="11" applyNumberFormat="0" applyFont="1" applyFill="1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49" fontId="3" fillId="3" borderId="8" applyNumberFormat="1" applyFont="1" applyFill="1" applyBorder="1" applyAlignment="1" applyProtection="0">
      <alignment horizontal="left" vertical="bottom"/>
    </xf>
    <xf numFmtId="0" fontId="3" fillId="3" borderId="8" applyNumberFormat="0" applyFont="1" applyFill="1" applyBorder="1" applyAlignment="1" applyProtection="0">
      <alignment horizontal="left" vertical="bottom"/>
    </xf>
    <xf numFmtId="3" fontId="3" fillId="3" borderId="8" applyNumberFormat="1" applyFont="1" applyFill="1" applyBorder="1" applyAlignment="1" applyProtection="0">
      <alignment horizontal="center" vertical="bottom"/>
    </xf>
    <xf numFmtId="0" fontId="0" borderId="11" applyNumberFormat="0" applyFont="1" applyFill="0" applyBorder="1" applyAlignment="1" applyProtection="0">
      <alignment vertical="bottom"/>
    </xf>
    <xf numFmtId="0" fontId="3" fillId="2" borderId="11" applyNumberFormat="0" applyFont="1" applyFill="1" applyBorder="1" applyAlignment="1" applyProtection="0">
      <alignment horizontal="center" vertical="bottom"/>
    </xf>
    <xf numFmtId="0" fontId="3" fillId="3" borderId="14" applyNumberFormat="0" applyFont="1" applyFill="1" applyBorder="1" applyAlignment="1" applyProtection="0">
      <alignment horizontal="center" vertical="bottom"/>
    </xf>
    <xf numFmtId="0" fontId="0" borderId="15" applyNumberFormat="0" applyFont="1" applyFill="0" applyBorder="1" applyAlignment="1" applyProtection="0">
      <alignment vertical="bottom"/>
    </xf>
    <xf numFmtId="49" fontId="3" borderId="8" applyNumberFormat="1" applyFont="1" applyFill="0" applyBorder="1" applyAlignment="1" applyProtection="0">
      <alignment horizontal="left" vertical="bottom"/>
    </xf>
    <xf numFmtId="0" fontId="3" borderId="8" applyNumberFormat="0" applyFont="1" applyFill="0" applyBorder="1" applyAlignment="1" applyProtection="0">
      <alignment horizontal="left" vertical="bottom"/>
    </xf>
    <xf numFmtId="0" fontId="3" fillId="2" borderId="8" applyNumberFormat="0" applyFont="1" applyFill="1" applyBorder="1" applyAlignment="1" applyProtection="0">
      <alignment horizontal="left" vertical="bottom"/>
    </xf>
    <xf numFmtId="3" fontId="3" fillId="4" borderId="8" applyNumberFormat="1" applyFont="1" applyFill="1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horizontal="center" vertical="bottom"/>
    </xf>
    <xf numFmtId="0" fontId="0" borderId="16" applyNumberFormat="0" applyFont="1" applyFill="0" applyBorder="1" applyAlignment="1" applyProtection="0">
      <alignment horizontal="center" vertical="bottom"/>
    </xf>
    <xf numFmtId="0" fontId="0" borderId="9" applyNumberFormat="0" applyFont="1" applyFill="0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vertical="bottom"/>
    </xf>
    <xf numFmtId="49" fontId="0" borderId="8" applyNumberFormat="1" applyFont="1" applyFill="0" applyBorder="1" applyAlignment="1" applyProtection="0">
      <alignment horizontal="right" vertical="bottom"/>
    </xf>
    <xf numFmtId="0" fontId="0" borderId="8" applyNumberFormat="0" applyFont="1" applyFill="0" applyBorder="1" applyAlignment="1" applyProtection="0">
      <alignment horizontal="right" vertical="bottom"/>
    </xf>
    <xf numFmtId="3" fontId="3" borderId="8" applyNumberFormat="1" applyFont="1" applyFill="0" applyBorder="1" applyAlignment="1" applyProtection="0">
      <alignment horizontal="center" vertical="bottom"/>
    </xf>
    <xf numFmtId="0" fontId="3" borderId="8" applyNumberFormat="0" applyFont="1" applyFill="0" applyBorder="1" applyAlignment="1" applyProtection="0">
      <alignment horizontal="center" vertical="bottom"/>
    </xf>
    <xf numFmtId="0" fontId="3" borderId="9" applyNumberFormat="0" applyFont="1" applyFill="0" applyBorder="1" applyAlignment="1" applyProtection="0">
      <alignment horizontal="center" vertical="bottom"/>
    </xf>
    <xf numFmtId="3" fontId="0" borderId="11" applyNumberFormat="1" applyFont="1" applyFill="0" applyBorder="1" applyAlignment="1" applyProtection="0">
      <alignment horizontal="center" vertical="bottom"/>
    </xf>
    <xf numFmtId="0" fontId="0" borderId="11" applyNumberFormat="0" applyFont="1" applyFill="0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horizontal="center" vertical="bottom"/>
    </xf>
    <xf numFmtId="0" fontId="0" fillId="2" borderId="8" applyNumberFormat="0" applyFont="1" applyFill="1" applyBorder="1" applyAlignment="1" applyProtection="0">
      <alignment horizontal="left"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horizontal="right" vertical="bottom"/>
    </xf>
    <xf numFmtId="0" fontId="3" fillId="2" borderId="8" applyNumberFormat="0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8eaadb"/>
      <rgbColor rgb="ffed7d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5"/>
  <sheetViews>
    <sheetView workbookViewId="0" showGridLines="0" defaultGridColor="1"/>
  </sheetViews>
  <sheetFormatPr defaultColWidth="8.83333" defaultRowHeight="15" customHeight="1" outlineLevelRow="0" outlineLevelCol="0"/>
  <cols>
    <col min="1" max="2" width="8.85156" style="1" customWidth="1"/>
    <col min="3" max="4" width="7.17188" style="1" customWidth="1"/>
    <col min="5" max="5" width="8.5" style="1" customWidth="1"/>
    <col min="6" max="6" width="9" style="1" customWidth="1"/>
    <col min="7" max="7" width="9.85156" style="1" customWidth="1"/>
    <col min="8" max="12" width="8.85156" style="1" customWidth="1"/>
    <col min="13" max="14" width="9.17188" style="1" customWidth="1"/>
    <col min="15" max="15" width="10.5" style="1" customWidth="1"/>
    <col min="16" max="16384" width="8.85156" style="1" customWidth="1"/>
  </cols>
  <sheetData>
    <row r="1" ht="13.5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</row>
    <row r="2" ht="13.55" customHeight="1">
      <c r="A2" s="2"/>
      <c r="B2" s="4"/>
      <c r="C2" s="4"/>
      <c r="D2" s="4"/>
      <c r="E2" s="4"/>
      <c r="F2" s="4"/>
      <c r="G2" s="4"/>
      <c r="H2" s="2"/>
      <c r="I2" s="2"/>
      <c r="J2" s="5"/>
      <c r="K2" s="5"/>
      <c r="L2" s="5"/>
      <c r="M2" s="6"/>
      <c r="N2" s="6"/>
      <c r="O2" s="6"/>
    </row>
    <row r="3" ht="13.55" customHeight="1">
      <c r="A3" s="7"/>
      <c r="B3" t="s" s="8">
        <v>0</v>
      </c>
      <c r="C3" s="9"/>
      <c r="D3" s="9"/>
      <c r="E3" s="9"/>
      <c r="F3" s="9"/>
      <c r="G3" s="9"/>
      <c r="H3" s="10"/>
      <c r="I3" s="7"/>
      <c r="J3" t="s" s="11">
        <v>1</v>
      </c>
      <c r="K3" s="12"/>
      <c r="L3" s="12"/>
      <c r="M3" s="12"/>
      <c r="N3" s="12"/>
      <c r="O3" s="12"/>
    </row>
    <row r="4" ht="29.25" customHeight="1">
      <c r="A4" s="7"/>
      <c r="B4" t="s" s="11">
        <v>2</v>
      </c>
      <c r="C4" t="s" s="11">
        <v>3</v>
      </c>
      <c r="D4" s="12"/>
      <c r="E4" t="s" s="11">
        <v>4</v>
      </c>
      <c r="F4" s="12"/>
      <c r="G4" t="s" s="13">
        <v>5</v>
      </c>
      <c r="H4" s="14"/>
      <c r="I4" s="7"/>
      <c r="J4" t="s" s="15">
        <v>6</v>
      </c>
      <c r="K4" s="16"/>
      <c r="L4" s="16"/>
      <c r="M4" s="17">
        <v>1</v>
      </c>
      <c r="N4" s="18">
        <v>60000</v>
      </c>
      <c r="O4" s="18">
        <f>M4*N4</f>
        <v>60000</v>
      </c>
    </row>
    <row r="5" ht="13.55" customHeight="1">
      <c r="A5" s="7"/>
      <c r="B5" t="s" s="19">
        <v>7</v>
      </c>
      <c r="C5" s="20">
        <v>68300</v>
      </c>
      <c r="D5" s="20"/>
      <c r="E5" s="20">
        <v>136000</v>
      </c>
      <c r="F5" s="20"/>
      <c r="G5" s="20">
        <f>(E5-C5)*90%</f>
        <v>60930</v>
      </c>
      <c r="H5" s="14"/>
      <c r="I5" s="7"/>
      <c r="J5" t="s" s="15">
        <v>8</v>
      </c>
      <c r="K5" s="16"/>
      <c r="L5" s="16"/>
      <c r="M5" s="17">
        <v>1</v>
      </c>
      <c r="N5" s="18">
        <v>60000</v>
      </c>
      <c r="O5" s="18">
        <f>M5*N5</f>
        <v>60000</v>
      </c>
    </row>
    <row r="6" ht="13.55" customHeight="1">
      <c r="A6" s="7"/>
      <c r="B6" t="s" s="19">
        <v>9</v>
      </c>
      <c r="C6" s="20">
        <v>87000</v>
      </c>
      <c r="D6" s="20"/>
      <c r="E6" s="20">
        <v>170000</v>
      </c>
      <c r="F6" s="20"/>
      <c r="G6" s="20">
        <f>(E6-C6)*90%</f>
        <v>74700</v>
      </c>
      <c r="H6" s="14"/>
      <c r="I6" s="7"/>
      <c r="J6" t="s" s="15">
        <v>10</v>
      </c>
      <c r="K6" s="16"/>
      <c r="L6" s="16"/>
      <c r="M6" s="17">
        <v>4</v>
      </c>
      <c r="N6" s="18">
        <v>25000</v>
      </c>
      <c r="O6" s="18">
        <f>M6*N6</f>
        <v>100000</v>
      </c>
    </row>
    <row r="7" ht="13.55" customHeight="1">
      <c r="A7" s="7"/>
      <c r="B7" t="s" s="19">
        <v>11</v>
      </c>
      <c r="C7" s="20">
        <v>87000</v>
      </c>
      <c r="D7" s="20"/>
      <c r="E7" s="20">
        <v>170000</v>
      </c>
      <c r="F7" s="20"/>
      <c r="G7" s="20">
        <f>(E7-C7)*90%</f>
        <v>74700</v>
      </c>
      <c r="H7" s="14"/>
      <c r="I7" s="7"/>
      <c r="J7" t="s" s="15">
        <v>12</v>
      </c>
      <c r="K7" s="16"/>
      <c r="L7" s="16"/>
      <c r="M7" s="17">
        <v>10</v>
      </c>
      <c r="N7" s="18">
        <v>20000</v>
      </c>
      <c r="O7" s="18">
        <f>M7*N7</f>
        <v>200000</v>
      </c>
    </row>
    <row r="8" ht="13.55" customHeight="1">
      <c r="A8" s="7"/>
      <c r="B8" t="s" s="19">
        <v>13</v>
      </c>
      <c r="C8" s="20">
        <v>118000</v>
      </c>
      <c r="D8" s="20"/>
      <c r="E8" s="20">
        <v>220000</v>
      </c>
      <c r="F8" s="20"/>
      <c r="G8" s="20">
        <f>(E8-C8)*90%</f>
        <v>91800</v>
      </c>
      <c r="H8" s="14"/>
      <c r="I8" s="7"/>
      <c r="J8" t="s" s="15">
        <v>14</v>
      </c>
      <c r="K8" s="16"/>
      <c r="L8" s="16"/>
      <c r="M8" s="17">
        <v>2</v>
      </c>
      <c r="N8" s="18">
        <v>30000</v>
      </c>
      <c r="O8" s="18">
        <f>M8*N8</f>
        <v>60000</v>
      </c>
    </row>
    <row r="9" ht="13.55" customHeight="1">
      <c r="A9" s="7"/>
      <c r="B9" t="s" s="19">
        <v>15</v>
      </c>
      <c r="C9" s="20">
        <v>172000</v>
      </c>
      <c r="D9" s="20"/>
      <c r="E9" s="20">
        <v>322000</v>
      </c>
      <c r="F9" s="20"/>
      <c r="G9" s="20">
        <f>(E9-C9)*90%</f>
        <v>135000</v>
      </c>
      <c r="H9" s="14"/>
      <c r="I9" s="7"/>
      <c r="J9" t="s" s="15">
        <v>16</v>
      </c>
      <c r="K9" s="16"/>
      <c r="L9" s="16"/>
      <c r="M9" s="17">
        <v>5</v>
      </c>
      <c r="N9" s="18">
        <v>20000</v>
      </c>
      <c r="O9" s="18">
        <f>M9*N9</f>
        <v>100000</v>
      </c>
    </row>
    <row r="10" ht="13.55" customHeight="1">
      <c r="A10" s="7"/>
      <c r="B10" t="s" s="19">
        <v>17</v>
      </c>
      <c r="C10" s="20">
        <v>240000</v>
      </c>
      <c r="D10" s="20"/>
      <c r="E10" s="20">
        <v>480000</v>
      </c>
      <c r="F10" s="20"/>
      <c r="G10" s="20">
        <f>(E10-C10)*90%</f>
        <v>216000</v>
      </c>
      <c r="H10" s="14"/>
      <c r="I10" s="7"/>
      <c r="J10" t="s" s="21">
        <v>18</v>
      </c>
      <c r="K10" s="22"/>
      <c r="L10" s="22"/>
      <c r="M10" s="23"/>
      <c r="N10" s="24"/>
      <c r="O10" s="25">
        <f>SUM(O4:O9)</f>
        <v>580000</v>
      </c>
    </row>
    <row r="11" ht="13.55" customHeight="1">
      <c r="A11" s="7"/>
      <c r="B11" t="s" s="19">
        <v>19</v>
      </c>
      <c r="C11" s="20">
        <v>800000</v>
      </c>
      <c r="D11" s="20"/>
      <c r="E11" s="20">
        <v>1500000</v>
      </c>
      <c r="F11" s="20"/>
      <c r="G11" s="20">
        <f>(E11-C11)*90%</f>
        <v>630000</v>
      </c>
      <c r="H11" s="14"/>
      <c r="I11" s="2"/>
      <c r="J11" s="26"/>
      <c r="K11" s="26"/>
      <c r="L11" s="26"/>
      <c r="M11" s="27"/>
      <c r="N11" s="27"/>
      <c r="O11" s="27"/>
    </row>
    <row r="12" ht="13.55" customHeight="1">
      <c r="A12" s="2"/>
      <c r="B12" s="28"/>
      <c r="C12" s="28"/>
      <c r="D12" s="28"/>
      <c r="E12" s="28"/>
      <c r="F12" s="28"/>
      <c r="G12" s="28"/>
      <c r="H12" s="2"/>
      <c r="I12" s="7"/>
      <c r="J12" t="s" s="29">
        <v>20</v>
      </c>
      <c r="K12" s="30"/>
      <c r="L12" s="30"/>
      <c r="M12" s="30"/>
      <c r="N12" s="30"/>
      <c r="O12" s="31">
        <v>30000000</v>
      </c>
    </row>
    <row r="13" ht="13.55" customHeight="1">
      <c r="A13" s="2"/>
      <c r="B13" s="5"/>
      <c r="C13" s="5"/>
      <c r="D13" s="5"/>
      <c r="E13" s="5"/>
      <c r="F13" s="5"/>
      <c r="G13" s="5"/>
      <c r="H13" s="4"/>
      <c r="I13" s="2"/>
      <c r="J13" s="32"/>
      <c r="K13" s="32"/>
      <c r="L13" s="32"/>
      <c r="M13" s="27"/>
      <c r="N13" s="27"/>
      <c r="O13" s="33"/>
    </row>
    <row r="14" ht="13.55" customHeight="1">
      <c r="A14" s="7"/>
      <c r="B14" t="s" s="11">
        <v>21</v>
      </c>
      <c r="C14" s="12"/>
      <c r="D14" s="12"/>
      <c r="E14" s="12"/>
      <c r="F14" s="12"/>
      <c r="G14" s="12"/>
      <c r="H14" s="34"/>
      <c r="I14" s="35"/>
      <c r="J14" t="s" s="36">
        <v>22</v>
      </c>
      <c r="K14" s="37"/>
      <c r="L14" s="37"/>
      <c r="M14" s="38"/>
      <c r="N14" s="38"/>
      <c r="O14" s="39">
        <v>0</v>
      </c>
    </row>
    <row r="15" ht="13.55" customHeight="1">
      <c r="A15" s="7"/>
      <c r="B15" t="s" s="11">
        <v>23</v>
      </c>
      <c r="C15" s="12"/>
      <c r="D15" s="12"/>
      <c r="E15" s="12"/>
      <c r="F15" t="s" s="11">
        <v>24</v>
      </c>
      <c r="G15" s="12"/>
      <c r="H15" s="34"/>
      <c r="I15" s="10"/>
      <c r="J15" s="32"/>
      <c r="K15" s="32"/>
      <c r="L15" s="32"/>
      <c r="M15" s="27"/>
      <c r="N15" s="27"/>
      <c r="O15" s="33"/>
    </row>
    <row r="16" ht="13.55" customHeight="1">
      <c r="A16" s="7"/>
      <c r="B16" t="s" s="15">
        <v>25</v>
      </c>
      <c r="C16" s="16"/>
      <c r="D16" s="16"/>
      <c r="E16" s="16"/>
      <c r="F16" s="20">
        <f>O10</f>
        <v>580000</v>
      </c>
      <c r="G16" s="40"/>
      <c r="H16" s="41"/>
      <c r="I16" s="7"/>
      <c r="J16" t="s" s="36">
        <v>26</v>
      </c>
      <c r="K16" s="37"/>
      <c r="L16" s="37"/>
      <c r="M16" s="38"/>
      <c r="N16" s="38"/>
      <c r="O16" s="25">
        <v>4000</v>
      </c>
    </row>
    <row r="17" ht="13.55" customHeight="1">
      <c r="A17" s="7"/>
      <c r="B17" t="s" s="15">
        <v>27</v>
      </c>
      <c r="C17" s="16"/>
      <c r="D17" s="16"/>
      <c r="E17" s="16"/>
      <c r="F17" s="20">
        <v>50000</v>
      </c>
      <c r="G17" s="40"/>
      <c r="H17" s="42"/>
      <c r="I17" s="2"/>
      <c r="J17" s="32"/>
      <c r="K17" s="32"/>
      <c r="L17" s="32"/>
      <c r="M17" s="27"/>
      <c r="N17" s="27"/>
      <c r="O17" s="33"/>
    </row>
    <row r="18" ht="13.55" customHeight="1">
      <c r="A18" s="7"/>
      <c r="B18" t="s" s="15">
        <v>28</v>
      </c>
      <c r="C18" s="16"/>
      <c r="D18" s="16"/>
      <c r="E18" s="16"/>
      <c r="F18" s="20">
        <v>25000</v>
      </c>
      <c r="G18" s="40"/>
      <c r="H18" s="42"/>
      <c r="I18" s="7"/>
      <c r="J18" t="s" s="36">
        <v>29</v>
      </c>
      <c r="K18" s="37"/>
      <c r="L18" s="37"/>
      <c r="M18" s="38"/>
      <c r="N18" s="38"/>
      <c r="O18" s="25">
        <v>2000</v>
      </c>
    </row>
    <row r="19" ht="13.55" customHeight="1">
      <c r="A19" s="7"/>
      <c r="B19" t="s" s="15">
        <v>30</v>
      </c>
      <c r="C19" s="16"/>
      <c r="D19" s="16"/>
      <c r="E19" s="16"/>
      <c r="F19" s="20">
        <v>10000</v>
      </c>
      <c r="G19" s="40"/>
      <c r="H19" s="42"/>
      <c r="I19" s="2"/>
      <c r="J19" s="32"/>
      <c r="K19" s="32"/>
      <c r="L19" s="32"/>
      <c r="M19" s="27"/>
      <c r="N19" s="27"/>
      <c r="O19" s="33"/>
    </row>
    <row r="20" ht="13.55" customHeight="1">
      <c r="A20" s="7"/>
      <c r="B20" t="s" s="15">
        <v>31</v>
      </c>
      <c r="C20" s="16"/>
      <c r="D20" s="16"/>
      <c r="E20" s="16"/>
      <c r="F20" s="20">
        <f>O12*1.5%</f>
        <v>450000</v>
      </c>
      <c r="G20" s="40"/>
      <c r="H20" s="42"/>
      <c r="I20" s="7"/>
      <c r="J20" t="s" s="36">
        <v>32</v>
      </c>
      <c r="K20" s="37"/>
      <c r="L20" s="37"/>
      <c r="M20" s="38"/>
      <c r="N20" s="38"/>
      <c r="O20" s="25">
        <v>2000</v>
      </c>
    </row>
    <row r="21" ht="13.55" customHeight="1">
      <c r="A21" s="7"/>
      <c r="B21" s="16"/>
      <c r="C21" s="16"/>
      <c r="D21" s="16"/>
      <c r="E21" s="16"/>
      <c r="F21" s="20"/>
      <c r="G21" s="40"/>
      <c r="H21" s="42"/>
      <c r="I21" s="2"/>
      <c r="J21" s="28"/>
      <c r="K21" s="28"/>
      <c r="L21" s="28"/>
      <c r="M21" s="43"/>
      <c r="N21" s="43"/>
      <c r="O21" s="43"/>
    </row>
    <row r="22" ht="13.55" customHeight="1">
      <c r="A22" s="7"/>
      <c r="B22" t="s" s="44">
        <v>18</v>
      </c>
      <c r="C22" s="45"/>
      <c r="D22" s="45"/>
      <c r="E22" s="45"/>
      <c r="F22" s="46">
        <f>SUM(F16:G21)</f>
        <v>1115000</v>
      </c>
      <c r="G22" s="47"/>
      <c r="H22" s="48"/>
      <c r="I22" s="2"/>
      <c r="J22" s="2"/>
      <c r="K22" s="2"/>
      <c r="L22" s="2"/>
      <c r="M22" s="3"/>
      <c r="N22" s="3"/>
      <c r="O22" s="3"/>
    </row>
    <row r="23" ht="13.55" customHeight="1">
      <c r="A23" s="2"/>
      <c r="B23" s="26"/>
      <c r="C23" s="26"/>
      <c r="D23" s="26"/>
      <c r="E23" s="26"/>
      <c r="F23" s="49"/>
      <c r="G23" s="50"/>
      <c r="H23" s="51"/>
      <c r="I23" s="2"/>
      <c r="J23" s="5"/>
      <c r="K23" s="5"/>
      <c r="L23" s="5"/>
      <c r="M23" s="6"/>
      <c r="N23" s="6"/>
      <c r="O23" s="6"/>
    </row>
    <row r="24" ht="13.55" customHeight="1">
      <c r="A24" s="7"/>
      <c r="B24" t="s" s="11">
        <v>33</v>
      </c>
      <c r="C24" s="12"/>
      <c r="D24" s="12"/>
      <c r="E24" s="12"/>
      <c r="F24" s="12"/>
      <c r="G24" s="12"/>
      <c r="H24" s="34"/>
      <c r="I24" s="35"/>
      <c r="J24" t="s" s="11">
        <v>34</v>
      </c>
      <c r="K24" s="12"/>
      <c r="L24" s="12"/>
      <c r="M24" s="12"/>
      <c r="N24" s="12"/>
      <c r="O24" s="12"/>
    </row>
    <row r="25" ht="13.55" customHeight="1">
      <c r="A25" s="7"/>
      <c r="B25" t="s" s="11">
        <v>23</v>
      </c>
      <c r="C25" s="12"/>
      <c r="D25" s="12"/>
      <c r="E25" s="12"/>
      <c r="F25" t="s" s="11">
        <v>24</v>
      </c>
      <c r="G25" s="12"/>
      <c r="H25" s="34"/>
      <c r="I25" s="35"/>
      <c r="J25" t="s" s="11">
        <v>23</v>
      </c>
      <c r="K25" s="12"/>
      <c r="L25" s="12"/>
      <c r="M25" s="12"/>
      <c r="N25" t="s" s="11">
        <v>24</v>
      </c>
      <c r="O25" s="12"/>
    </row>
    <row r="26" ht="13.55" customHeight="1">
      <c r="A26" s="7"/>
      <c r="B26" t="s" s="15">
        <v>35</v>
      </c>
      <c r="C26" s="16"/>
      <c r="D26" s="16"/>
      <c r="E26" s="16"/>
      <c r="F26" s="20">
        <f>O14*O16</f>
        <v>0</v>
      </c>
      <c r="G26" s="40"/>
      <c r="H26" s="41"/>
      <c r="I26" s="7"/>
      <c r="J26" t="s" s="15">
        <v>36</v>
      </c>
      <c r="K26" s="16"/>
      <c r="L26" s="16"/>
      <c r="M26" s="52"/>
      <c r="N26" s="18">
        <f>O14/2</f>
        <v>0</v>
      </c>
      <c r="O26" s="53"/>
    </row>
    <row r="27" ht="13.55" customHeight="1">
      <c r="A27" s="7"/>
      <c r="B27" t="s" s="15">
        <v>37</v>
      </c>
      <c r="C27" s="16"/>
      <c r="D27" s="16"/>
      <c r="E27" s="16"/>
      <c r="F27" s="20">
        <f>O14*O18</f>
        <v>0</v>
      </c>
      <c r="G27" s="40"/>
      <c r="H27" s="42"/>
      <c r="I27" s="7"/>
      <c r="J27" t="s" s="15">
        <v>38</v>
      </c>
      <c r="K27" s="16"/>
      <c r="L27" s="16"/>
      <c r="M27" s="52"/>
      <c r="N27" s="18">
        <f>O14/2</f>
        <v>0</v>
      </c>
      <c r="O27" s="53"/>
    </row>
    <row r="28" ht="13.55" customHeight="1">
      <c r="A28" s="7"/>
      <c r="B28" t="s" s="15">
        <v>39</v>
      </c>
      <c r="C28" s="16"/>
      <c r="D28" s="16"/>
      <c r="E28" s="16"/>
      <c r="F28" s="20">
        <f>O14*O20</f>
        <v>0</v>
      </c>
      <c r="G28" s="40"/>
      <c r="H28" s="42"/>
      <c r="I28" s="7"/>
      <c r="J28" t="s" s="15">
        <v>40</v>
      </c>
      <c r="K28" s="16"/>
      <c r="L28" s="16"/>
      <c r="M28" s="52"/>
      <c r="N28" s="18">
        <f>N26*G5</f>
        <v>0</v>
      </c>
      <c r="O28" s="53"/>
    </row>
    <row r="29" ht="13.55" customHeight="1">
      <c r="A29" s="7"/>
      <c r="B29" t="s" s="15">
        <v>41</v>
      </c>
      <c r="C29" s="16"/>
      <c r="D29" s="16"/>
      <c r="E29" s="16"/>
      <c r="F29" s="20">
        <f>(N28+N29)*18%</f>
        <v>0</v>
      </c>
      <c r="G29" s="40"/>
      <c r="H29" s="42"/>
      <c r="I29" s="7"/>
      <c r="J29" t="s" s="15">
        <v>42</v>
      </c>
      <c r="K29" s="16"/>
      <c r="L29" s="16"/>
      <c r="M29" s="52"/>
      <c r="N29" s="18">
        <f>N27*G7</f>
        <v>0</v>
      </c>
      <c r="O29" s="53"/>
    </row>
    <row r="30" ht="13.55" customHeight="1">
      <c r="A30" s="7"/>
      <c r="B30" s="16"/>
      <c r="C30" s="16"/>
      <c r="D30" s="16"/>
      <c r="E30" s="16"/>
      <c r="F30" s="20"/>
      <c r="G30" s="40"/>
      <c r="H30" s="42"/>
      <c r="I30" s="7"/>
      <c r="J30" s="16"/>
      <c r="K30" s="16"/>
      <c r="L30" s="16"/>
      <c r="M30" s="52"/>
      <c r="N30" s="18"/>
      <c r="O30" s="53"/>
    </row>
    <row r="31" ht="13.55" customHeight="1">
      <c r="A31" s="7"/>
      <c r="B31" s="16"/>
      <c r="C31" s="16"/>
      <c r="D31" s="16"/>
      <c r="E31" s="16"/>
      <c r="F31" s="20"/>
      <c r="G31" s="40"/>
      <c r="H31" s="42"/>
      <c r="I31" s="7"/>
      <c r="J31" s="16"/>
      <c r="K31" s="16"/>
      <c r="L31" s="16"/>
      <c r="M31" s="52"/>
      <c r="N31" s="18"/>
      <c r="O31" s="53"/>
    </row>
    <row r="32" ht="13.55" customHeight="1">
      <c r="A32" s="7"/>
      <c r="B32" t="s" s="44">
        <v>18</v>
      </c>
      <c r="C32" s="45"/>
      <c r="D32" s="45"/>
      <c r="E32" s="45"/>
      <c r="F32" s="46">
        <f>SUM(F26:G31)</f>
        <v>0</v>
      </c>
      <c r="G32" s="47"/>
      <c r="H32" s="48"/>
      <c r="I32" s="7"/>
      <c r="J32" t="s" s="44">
        <v>18</v>
      </c>
      <c r="K32" s="45"/>
      <c r="L32" s="45"/>
      <c r="M32" s="54"/>
      <c r="N32" s="25">
        <f>SUM(N26:O31)</f>
        <v>0</v>
      </c>
      <c r="O32" s="55"/>
    </row>
    <row r="33" ht="13.55" customHeight="1">
      <c r="A33" s="2"/>
      <c r="B33" s="28"/>
      <c r="C33" s="28"/>
      <c r="D33" s="28"/>
      <c r="E33" s="28"/>
      <c r="F33" s="28"/>
      <c r="G33" s="28"/>
      <c r="H33" s="2"/>
      <c r="I33" s="2"/>
      <c r="J33" s="28"/>
      <c r="K33" s="28"/>
      <c r="L33" s="28"/>
      <c r="M33" s="43"/>
      <c r="N33" s="43"/>
      <c r="O33" s="43"/>
    </row>
    <row r="34" ht="13.55" customHeight="1">
      <c r="A34" s="2"/>
      <c r="B34" s="5"/>
      <c r="C34" s="5"/>
      <c r="D34" s="5"/>
      <c r="E34" s="5"/>
      <c r="F34" s="5"/>
      <c r="G34" s="5"/>
      <c r="H34" s="2"/>
      <c r="I34" s="2"/>
      <c r="J34" s="2"/>
      <c r="K34" s="2"/>
      <c r="L34" s="2"/>
      <c r="M34" s="3"/>
      <c r="N34" s="3"/>
      <c r="O34" s="3"/>
    </row>
    <row r="35" ht="13.55" customHeight="1">
      <c r="A35" s="7"/>
      <c r="B35" t="s" s="36">
        <v>43</v>
      </c>
      <c r="C35" s="37"/>
      <c r="D35" s="37"/>
      <c r="E35" s="37"/>
      <c r="F35" s="46">
        <f>F22+F32</f>
        <v>1115000</v>
      </c>
      <c r="G35" s="47"/>
      <c r="H35" s="48"/>
      <c r="I35" s="2"/>
      <c r="J35" s="2"/>
      <c r="K35" s="2"/>
      <c r="L35" s="2"/>
      <c r="M35" s="3"/>
      <c r="N35" s="3"/>
      <c r="O35" s="3"/>
    </row>
  </sheetData>
  <mergeCells count="86">
    <mergeCell ref="J32:M32"/>
    <mergeCell ref="N32:O32"/>
    <mergeCell ref="B3:G3"/>
    <mergeCell ref="N28:O28"/>
    <mergeCell ref="J29:M29"/>
    <mergeCell ref="N29:O29"/>
    <mergeCell ref="J30:M30"/>
    <mergeCell ref="N30:O30"/>
    <mergeCell ref="J31:M31"/>
    <mergeCell ref="N31:O31"/>
    <mergeCell ref="B32:E32"/>
    <mergeCell ref="F32:G32"/>
    <mergeCell ref="J20:N20"/>
    <mergeCell ref="B35:E35"/>
    <mergeCell ref="F35:G35"/>
    <mergeCell ref="J24:O24"/>
    <mergeCell ref="J25:M25"/>
    <mergeCell ref="N25:O25"/>
    <mergeCell ref="J26:M26"/>
    <mergeCell ref="N26:O26"/>
    <mergeCell ref="B29:E29"/>
    <mergeCell ref="F29:G29"/>
    <mergeCell ref="B30:E30"/>
    <mergeCell ref="F30:G30"/>
    <mergeCell ref="B31:E31"/>
    <mergeCell ref="F31:G31"/>
    <mergeCell ref="J12:N12"/>
    <mergeCell ref="J14:N14"/>
    <mergeCell ref="J16:N16"/>
    <mergeCell ref="J18:N18"/>
    <mergeCell ref="B24:G24"/>
    <mergeCell ref="B28:E28"/>
    <mergeCell ref="F28:G28"/>
    <mergeCell ref="J27:M27"/>
    <mergeCell ref="N27:O27"/>
    <mergeCell ref="J28:M28"/>
    <mergeCell ref="J9:L9"/>
    <mergeCell ref="J11:L11"/>
    <mergeCell ref="J3:O3"/>
    <mergeCell ref="J10:N10"/>
    <mergeCell ref="J4:L4"/>
    <mergeCell ref="J5:L5"/>
    <mergeCell ref="J6:L6"/>
    <mergeCell ref="J7:L7"/>
    <mergeCell ref="J8:L8"/>
    <mergeCell ref="F22:G22"/>
    <mergeCell ref="F23:G23"/>
    <mergeCell ref="F25:G25"/>
    <mergeCell ref="F26:G26"/>
    <mergeCell ref="F27:G27"/>
    <mergeCell ref="F16:G16"/>
    <mergeCell ref="F17:G17"/>
    <mergeCell ref="F18:G18"/>
    <mergeCell ref="F19:G19"/>
    <mergeCell ref="F20:G20"/>
    <mergeCell ref="F21:G21"/>
    <mergeCell ref="B22:E22"/>
    <mergeCell ref="B23:E23"/>
    <mergeCell ref="B25:E25"/>
    <mergeCell ref="B26:E26"/>
    <mergeCell ref="B27:E27"/>
    <mergeCell ref="B16:E16"/>
    <mergeCell ref="B17:E17"/>
    <mergeCell ref="B18:E18"/>
    <mergeCell ref="B19:E19"/>
    <mergeCell ref="B20:E20"/>
    <mergeCell ref="B21:E21"/>
    <mergeCell ref="E9:F9"/>
    <mergeCell ref="E10:F10"/>
    <mergeCell ref="E11:F11"/>
    <mergeCell ref="B15:E15"/>
    <mergeCell ref="F15:G15"/>
    <mergeCell ref="B14:G14"/>
    <mergeCell ref="C9:D9"/>
    <mergeCell ref="C10:D10"/>
    <mergeCell ref="C11:D11"/>
    <mergeCell ref="C4:D4"/>
    <mergeCell ref="E4:F4"/>
    <mergeCell ref="E5:F5"/>
    <mergeCell ref="E6:F6"/>
    <mergeCell ref="E7:F7"/>
    <mergeCell ref="E8:F8"/>
    <mergeCell ref="C5:D5"/>
    <mergeCell ref="C6:D6"/>
    <mergeCell ref="C7:D7"/>
    <mergeCell ref="C8:D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